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t="inlineStr">
        <is>
          <t>case_id</t>
        </is>
      </c>
      <c r="B1" t="inlineStr">
        <is>
          <t>monthly_volume_synthetic</t>
        </is>
      </c>
      <c r="C1" t="inlineStr">
        <is>
          <t>baseline_minutes_synthetic</t>
        </is>
      </c>
      <c r="D1" t="inlineStr">
        <is>
          <t>copilot_minutes_synthetic</t>
        </is>
      </c>
      <c r="E1" t="inlineStr">
        <is>
          <t>review_minutes_synthetic</t>
        </is>
      </c>
      <c r="F1" t="inlineStr">
        <is>
          <t>loaded_hourly_value_sgd_assumption</t>
        </is>
      </c>
      <c r="G1" t="inlineStr">
        <is>
          <t>monthly_license_cost_sgd_assumption</t>
        </is>
      </c>
      <c r="H1" t="inlineStr">
        <is>
          <t>net_minutes_per_task</t>
        </is>
      </c>
      <c r="I1" t="inlineStr">
        <is>
          <t>monthly_net_hours</t>
        </is>
      </c>
      <c r="J1" t="inlineStr">
        <is>
          <t>monthly_capacity_value_sgd_assumption</t>
        </is>
      </c>
      <c r="K1" t="inlineStr">
        <is>
          <t>net_value_after_license_sgd_assumption</t>
        </is>
      </c>
    </row>
    <row r="2">
      <c r="A2" t="inlineStr">
        <is>
          <t>NS-01</t>
        </is>
      </c>
      <c r="B2" t="inlineStr">
        <is>
          <t>41</t>
        </is>
      </c>
      <c r="C2" t="inlineStr">
        <is>
          <t>24</t>
        </is>
      </c>
      <c r="D2" t="inlineStr">
        <is>
          <t>13</t>
        </is>
      </c>
      <c r="E2" t="inlineStr">
        <is>
          <t>3</t>
        </is>
      </c>
      <c r="F2" t="inlineStr">
        <is>
          <t>43</t>
        </is>
      </c>
      <c r="G2" t="inlineStr">
        <is>
          <t>45</t>
        </is>
      </c>
      <c r="H2">
        <f>C2-D2-E2</f>
        <v/>
      </c>
      <c r="I2">
        <f>B2*H2/60</f>
        <v/>
      </c>
      <c r="J2">
        <f>I2*F2</f>
        <v/>
      </c>
      <c r="K2">
        <f>J2-G2</f>
        <v/>
      </c>
    </row>
    <row r="3">
      <c r="A3" t="inlineStr">
        <is>
          <t>NS-02</t>
        </is>
      </c>
      <c r="B3" t="inlineStr">
        <is>
          <t>45</t>
        </is>
      </c>
      <c r="C3" t="inlineStr">
        <is>
          <t>26</t>
        </is>
      </c>
      <c r="D3" t="inlineStr">
        <is>
          <t>14</t>
        </is>
      </c>
      <c r="E3" t="inlineStr">
        <is>
          <t>4</t>
        </is>
      </c>
      <c r="F3" t="inlineStr">
        <is>
          <t>43</t>
        </is>
      </c>
      <c r="G3" t="inlineStr">
        <is>
          <t>45</t>
        </is>
      </c>
      <c r="H3">
        <f>C3-D3-E3</f>
        <v/>
      </c>
      <c r="I3">
        <f>B3*H3/60</f>
        <v/>
      </c>
      <c r="J3">
        <f>I3*F3</f>
        <v/>
      </c>
      <c r="K3">
        <f>J3-G3</f>
        <v/>
      </c>
    </row>
    <row r="4">
      <c r="A4" t="inlineStr">
        <is>
          <t>NS-03</t>
        </is>
      </c>
      <c r="B4" t="inlineStr">
        <is>
          <t>49</t>
        </is>
      </c>
      <c r="C4" t="inlineStr">
        <is>
          <t>28</t>
        </is>
      </c>
      <c r="D4" t="inlineStr">
        <is>
          <t>15</t>
        </is>
      </c>
      <c r="E4" t="inlineStr">
        <is>
          <t>3</t>
        </is>
      </c>
      <c r="F4" t="inlineStr">
        <is>
          <t>43</t>
        </is>
      </c>
      <c r="G4" t="inlineStr">
        <is>
          <t>45</t>
        </is>
      </c>
      <c r="H4">
        <f>C4-D4-E4</f>
        <v/>
      </c>
      <c r="I4">
        <f>B4*H4/60</f>
        <v/>
      </c>
      <c r="J4">
        <f>I4*F4</f>
        <v/>
      </c>
      <c r="K4">
        <f>J4-G4</f>
        <v/>
      </c>
    </row>
    <row r="5">
      <c r="A5" t="inlineStr">
        <is>
          <t>NS-04</t>
        </is>
      </c>
      <c r="B5" t="inlineStr">
        <is>
          <t>53</t>
        </is>
      </c>
      <c r="C5" t="inlineStr">
        <is>
          <t>30</t>
        </is>
      </c>
      <c r="D5" t="inlineStr">
        <is>
          <t>16</t>
        </is>
      </c>
      <c r="E5" t="inlineStr">
        <is>
          <t>4</t>
        </is>
      </c>
      <c r="F5" t="inlineStr">
        <is>
          <t>43</t>
        </is>
      </c>
      <c r="G5" t="inlineStr">
        <is>
          <t>45</t>
        </is>
      </c>
      <c r="H5">
        <f>C5-D5-E5</f>
        <v/>
      </c>
      <c r="I5">
        <f>B5*H5/60</f>
        <v/>
      </c>
      <c r="J5">
        <f>I5*F5</f>
        <v/>
      </c>
      <c r="K5">
        <f>J5-G5</f>
        <v/>
      </c>
    </row>
    <row r="6">
      <c r="A6" t="inlineStr">
        <is>
          <t>NS-05</t>
        </is>
      </c>
      <c r="B6" t="inlineStr">
        <is>
          <t>57</t>
        </is>
      </c>
      <c r="C6" t="inlineStr">
        <is>
          <t>32</t>
        </is>
      </c>
      <c r="D6" t="inlineStr">
        <is>
          <t>17</t>
        </is>
      </c>
      <c r="E6" t="inlineStr">
        <is>
          <t>3</t>
        </is>
      </c>
      <c r="F6" t="inlineStr">
        <is>
          <t>43</t>
        </is>
      </c>
      <c r="G6" t="inlineStr">
        <is>
          <t>45</t>
        </is>
      </c>
      <c r="H6">
        <f>C6-D6-E6</f>
        <v/>
      </c>
      <c r="I6">
        <f>B6*H6/60</f>
        <v/>
      </c>
      <c r="J6">
        <f>I6*F6</f>
        <v/>
      </c>
      <c r="K6">
        <f>J6-G6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2026-09-28T19:51:16Z</dcterms:created>
  <dcterms:modified xmlns:dcterms="http://purl.org/dc/terms/" xmlns:xsi="http://www.w3.org/2001/XMLSchema-instance" xsi:type="dcterms:W3CDTF">2026-09-28T19:51:16Z</dcterms:modified>
</cp:coreProperties>
</file>